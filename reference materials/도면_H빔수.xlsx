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ng0\projects\construction-ai-estimator\reference materials\"/>
    </mc:Choice>
  </mc:AlternateContent>
  <xr:revisionPtr revIDLastSave="0" documentId="13_ncr:1_{1C7A8EE6-5051-4E74-B4EA-E22E20E65FE2}" xr6:coauthVersionLast="47" xr6:coauthVersionMax="47" xr10:uidLastSave="{00000000-0000-0000-0000-000000000000}"/>
  <bookViews>
    <workbookView xWindow="-110" yWindow="-110" windowWidth="25820" windowHeight="13900" xr2:uid="{6C95721C-2854-4435-BDB2-5703F08C2064}"/>
  </bookViews>
  <sheets>
    <sheet name="도면1" sheetId="1" r:id="rId1"/>
    <sheet name="다른도면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7" i="1" l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Y2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Y18" i="1" s="1"/>
</calcChain>
</file>

<file path=xl/sharedStrings.xml><?xml version="1.0" encoding="utf-8"?>
<sst xmlns="http://schemas.openxmlformats.org/spreadsheetml/2006/main" count="97" uniqueCount="76">
  <si>
    <t>sheet</t>
    <phoneticPr fontId="1" type="noConversion"/>
  </si>
  <si>
    <t>s-201</t>
    <phoneticPr fontId="1" type="noConversion"/>
  </si>
  <si>
    <t>s-202</t>
    <phoneticPr fontId="1" type="noConversion"/>
  </si>
  <si>
    <t>name</t>
    <phoneticPr fontId="1" type="noConversion"/>
  </si>
  <si>
    <t>(1동)기둥주심도-1</t>
    <phoneticPr fontId="1" type="noConversion"/>
  </si>
  <si>
    <t>(1동)기둥주심도-2</t>
    <phoneticPr fontId="1" type="noConversion"/>
  </si>
  <si>
    <t>s-203</t>
    <phoneticPr fontId="1" type="noConversion"/>
  </si>
  <si>
    <t>(1동)기둥부호도-2</t>
    <phoneticPr fontId="1" type="noConversion"/>
  </si>
  <si>
    <t>(1동)기둥부호도-1</t>
    <phoneticPr fontId="1" type="noConversion"/>
  </si>
  <si>
    <t>s-204</t>
    <phoneticPr fontId="1" type="noConversion"/>
  </si>
  <si>
    <t>s-205</t>
  </si>
  <si>
    <t>s-206</t>
  </si>
  <si>
    <t>(1동)기초구조도</t>
    <phoneticPr fontId="1" type="noConversion"/>
  </si>
  <si>
    <t>s-207</t>
  </si>
  <si>
    <t>s-208</t>
  </si>
  <si>
    <t>(1동)2층바닥보복도</t>
    <phoneticPr fontId="1" type="noConversion"/>
  </si>
  <si>
    <t>MC1</t>
    <phoneticPr fontId="1" type="noConversion"/>
  </si>
  <si>
    <t>MC2</t>
    <phoneticPr fontId="1" type="noConversion"/>
  </si>
  <si>
    <t>SG1</t>
    <phoneticPr fontId="1" type="noConversion"/>
  </si>
  <si>
    <t>SG2</t>
    <phoneticPr fontId="1" type="noConversion"/>
  </si>
  <si>
    <t>SG3</t>
    <phoneticPr fontId="1" type="noConversion"/>
  </si>
  <si>
    <t>SB1</t>
    <phoneticPr fontId="1" type="noConversion"/>
  </si>
  <si>
    <t>SB2</t>
    <phoneticPr fontId="1" type="noConversion"/>
  </si>
  <si>
    <t>SB3</t>
    <phoneticPr fontId="1" type="noConversion"/>
  </si>
  <si>
    <t>(1동)3층바닥보복도</t>
    <phoneticPr fontId="1" type="noConversion"/>
  </si>
  <si>
    <t>(1동)옥상바닥보복도</t>
    <phoneticPr fontId="1" type="noConversion"/>
  </si>
  <si>
    <t>RSG1</t>
    <phoneticPr fontId="1" type="noConversion"/>
  </si>
  <si>
    <t>RSG2</t>
    <phoneticPr fontId="1" type="noConversion"/>
  </si>
  <si>
    <t>RSG3</t>
    <phoneticPr fontId="1" type="noConversion"/>
  </si>
  <si>
    <t>RSB1</t>
    <phoneticPr fontId="1" type="noConversion"/>
  </si>
  <si>
    <t>RSB2</t>
    <phoneticPr fontId="1" type="noConversion"/>
  </si>
  <si>
    <t>RSB3</t>
    <phoneticPr fontId="1" type="noConversion"/>
  </si>
  <si>
    <t>MC3</t>
    <phoneticPr fontId="1" type="noConversion"/>
  </si>
  <si>
    <t>SC1</t>
    <phoneticPr fontId="1" type="noConversion"/>
  </si>
  <si>
    <t>s-301</t>
    <phoneticPr fontId="1" type="noConversion"/>
  </si>
  <si>
    <t>s-302</t>
  </si>
  <si>
    <t>s-303</t>
  </si>
  <si>
    <t>s-304</t>
  </si>
  <si>
    <t>s-305</t>
  </si>
  <si>
    <t>s-306</t>
  </si>
  <si>
    <t>s-307</t>
  </si>
  <si>
    <t>s-308</t>
  </si>
  <si>
    <t>(2동)기둥주심도</t>
    <phoneticPr fontId="1" type="noConversion"/>
  </si>
  <si>
    <t>(2동)기둥부호도</t>
    <phoneticPr fontId="1" type="noConversion"/>
  </si>
  <si>
    <t>(2동)기초구조도</t>
    <phoneticPr fontId="1" type="noConversion"/>
  </si>
  <si>
    <t>(2동)SL+4.0M구조평면도</t>
    <phoneticPr fontId="1" type="noConversion"/>
  </si>
  <si>
    <t>N/A</t>
    <phoneticPr fontId="1" type="noConversion"/>
  </si>
  <si>
    <t>(2동)SL+4.7M구조평면도</t>
    <phoneticPr fontId="1" type="noConversion"/>
  </si>
  <si>
    <t>WG1</t>
    <phoneticPr fontId="1" type="noConversion"/>
  </si>
  <si>
    <t>CRG1</t>
    <phoneticPr fontId="1" type="noConversion"/>
  </si>
  <si>
    <t>(2동)지붕구조평면도</t>
    <phoneticPr fontId="1" type="noConversion"/>
  </si>
  <si>
    <t>MT1</t>
    <phoneticPr fontId="1" type="noConversion"/>
  </si>
  <si>
    <t>VG1</t>
    <phoneticPr fontId="1" type="noConversion"/>
  </si>
  <si>
    <t>VT1</t>
    <phoneticPr fontId="1" type="noConversion"/>
  </si>
  <si>
    <t>(2동)Y01열골구도</t>
    <phoneticPr fontId="1" type="noConversion"/>
  </si>
  <si>
    <t>(2동)Y03,Y05열골구도</t>
    <phoneticPr fontId="1" type="noConversion"/>
  </si>
  <si>
    <t>합계</t>
    <phoneticPr fontId="1" type="noConversion"/>
  </si>
  <si>
    <t>일람표 부재</t>
    <phoneticPr fontId="1" type="noConversion"/>
  </si>
  <si>
    <t>도면2</t>
    <phoneticPr fontId="1" type="noConversion"/>
  </si>
  <si>
    <t>도면명</t>
    <phoneticPr fontId="1" type="noConversion"/>
  </si>
  <si>
    <t>가,나다동 1층 구조평면도</t>
    <phoneticPr fontId="1" type="noConversion"/>
  </si>
  <si>
    <t>sheet no</t>
    <phoneticPr fontId="1" type="noConversion"/>
  </si>
  <si>
    <t>mark</t>
    <phoneticPr fontId="1" type="noConversion"/>
  </si>
  <si>
    <t>SC2</t>
    <phoneticPr fontId="1" type="noConversion"/>
  </si>
  <si>
    <t>Member list</t>
    <phoneticPr fontId="1" type="noConversion"/>
  </si>
  <si>
    <t>H-250x125x6.0x9.0</t>
    <phoneticPr fontId="1" type="noConversion"/>
  </si>
  <si>
    <t>H-200x100x5.5x8.0</t>
    <phoneticPr fontId="1" type="noConversion"/>
  </si>
  <si>
    <t>가,나,다동 지붕 구조평면도</t>
    <phoneticPr fontId="1" type="noConversion"/>
  </si>
  <si>
    <t>H-125x125x6.5x9.0</t>
    <phoneticPr fontId="1" type="noConversion"/>
  </si>
  <si>
    <t>cnt</t>
    <phoneticPr fontId="1" type="noConversion"/>
  </si>
  <si>
    <t>도면4</t>
    <phoneticPr fontId="1" type="noConversion"/>
  </si>
  <si>
    <t>1층구조평면도</t>
    <phoneticPr fontId="1" type="noConversion"/>
  </si>
  <si>
    <t>H 350x175x7/11</t>
    <phoneticPr fontId="1" type="noConversion"/>
  </si>
  <si>
    <t>H 194x150x6/9</t>
    <phoneticPr fontId="1" type="noConversion"/>
  </si>
  <si>
    <t>지붕층 구조평면도</t>
    <phoneticPr fontId="1" type="noConversion"/>
  </si>
  <si>
    <t>파일명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</si>
</sst>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0BD2D-5ABA-45EE-9396-ABD4B14DEE14}">
  <dimension ref="A1:Y19"/>
  <sheetViews>
    <sheetView tabSelected="1" zoomScale="90" zoomScaleNormal="9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W15" sqref="W15"/>
    </sheetView>
  </sheetViews>
  <sheetFormatPr defaultRowHeight="17" x14ac:dyDescent="0.45"/>
  <cols>
    <col min="2" max="2" width="22.5" bestFit="1" customWidth="1"/>
    <col min="3" max="3" width="11.83203125" bestFit="1" customWidth="1"/>
    <col min="4" max="6" width="5.5" style="1" bestFit="1" customWidth="1"/>
    <col min="7" max="7" width="4.83203125" style="1" bestFit="1" customWidth="1"/>
    <col min="8" max="10" width="4.9140625" style="1" bestFit="1" customWidth="1"/>
    <col min="11" max="13" width="4.6640625" style="1" bestFit="1" customWidth="1"/>
    <col min="14" max="16" width="6" style="1" bestFit="1" customWidth="1"/>
    <col min="17" max="19" width="5.83203125" style="1" bestFit="1" customWidth="1"/>
    <col min="20" max="20" width="5.6640625" style="1" bestFit="1" customWidth="1"/>
    <col min="21" max="21" width="6.1640625" style="1" bestFit="1" customWidth="1"/>
    <col min="22" max="22" width="5.33203125" style="1" bestFit="1" customWidth="1"/>
    <col min="23" max="23" width="5.08203125" style="1" bestFit="1" customWidth="1"/>
    <col min="24" max="24" width="4.83203125" style="1" bestFit="1" customWidth="1"/>
    <col min="25" max="25" width="8.83203125" style="1"/>
  </cols>
  <sheetData>
    <row r="1" spans="1:25" x14ac:dyDescent="0.45">
      <c r="A1" s="2" t="s">
        <v>0</v>
      </c>
      <c r="B1" s="2" t="s">
        <v>3</v>
      </c>
      <c r="C1" s="2"/>
      <c r="D1" s="2" t="s">
        <v>16</v>
      </c>
      <c r="E1" s="2" t="s">
        <v>17</v>
      </c>
      <c r="F1" s="2" t="s">
        <v>32</v>
      </c>
      <c r="G1" s="2" t="s">
        <v>33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31</v>
      </c>
      <c r="T1" s="2" t="s">
        <v>48</v>
      </c>
      <c r="U1" s="2" t="s">
        <v>49</v>
      </c>
      <c r="V1" s="2" t="s">
        <v>51</v>
      </c>
      <c r="W1" s="2" t="s">
        <v>52</v>
      </c>
      <c r="X1" s="2" t="s">
        <v>53</v>
      </c>
      <c r="Y1" s="2" t="s">
        <v>56</v>
      </c>
    </row>
    <row r="2" spans="1:25" x14ac:dyDescent="0.45">
      <c r="A2" s="2" t="s">
        <v>1</v>
      </c>
      <c r="B2" s="2" t="s">
        <v>4</v>
      </c>
      <c r="C2" s="2"/>
      <c r="D2" s="2">
        <v>12</v>
      </c>
      <c r="E2" s="2">
        <v>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>
        <f>SUM(D2:X2)</f>
        <v>18</v>
      </c>
    </row>
    <row r="3" spans="1:25" x14ac:dyDescent="0.45">
      <c r="A3" s="2" t="s">
        <v>2</v>
      </c>
      <c r="B3" s="2" t="s">
        <v>5</v>
      </c>
      <c r="C3" s="2"/>
      <c r="D3" s="2"/>
      <c r="E3" s="2">
        <v>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>
        <f t="shared" ref="Y3:Y18" si="0">SUM(D3:X3)</f>
        <v>4</v>
      </c>
    </row>
    <row r="4" spans="1:25" x14ac:dyDescent="0.45">
      <c r="A4" s="2" t="s">
        <v>6</v>
      </c>
      <c r="B4" s="2" t="s">
        <v>8</v>
      </c>
      <c r="C4" s="2"/>
      <c r="D4" s="2">
        <v>12</v>
      </c>
      <c r="E4" s="2">
        <v>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>
        <f t="shared" si="0"/>
        <v>18</v>
      </c>
    </row>
    <row r="5" spans="1:25" x14ac:dyDescent="0.45">
      <c r="A5" s="2" t="s">
        <v>9</v>
      </c>
      <c r="B5" s="2" t="s">
        <v>7</v>
      </c>
      <c r="C5" s="2"/>
      <c r="D5" s="2"/>
      <c r="E5" s="2">
        <v>4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>
        <f t="shared" si="0"/>
        <v>4</v>
      </c>
    </row>
    <row r="6" spans="1:25" x14ac:dyDescent="0.45">
      <c r="A6" s="2" t="s">
        <v>10</v>
      </c>
      <c r="B6" s="2" t="s">
        <v>12</v>
      </c>
      <c r="C6" s="2"/>
      <c r="D6" s="2" t="s">
        <v>46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>
        <f t="shared" si="0"/>
        <v>0</v>
      </c>
    </row>
    <row r="7" spans="1:25" x14ac:dyDescent="0.45">
      <c r="A7" s="2" t="s">
        <v>11</v>
      </c>
      <c r="B7" s="2" t="s">
        <v>15</v>
      </c>
      <c r="C7" s="2"/>
      <c r="D7" s="2"/>
      <c r="E7" s="2"/>
      <c r="F7" s="2"/>
      <c r="G7" s="2"/>
      <c r="H7" s="2">
        <v>6</v>
      </c>
      <c r="I7" s="2">
        <v>10</v>
      </c>
      <c r="J7" s="2">
        <v>2</v>
      </c>
      <c r="K7" s="2">
        <v>5</v>
      </c>
      <c r="L7" s="2">
        <v>2</v>
      </c>
      <c r="M7" s="2">
        <v>10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>
        <f t="shared" si="0"/>
        <v>35</v>
      </c>
    </row>
    <row r="8" spans="1:25" x14ac:dyDescent="0.45">
      <c r="A8" s="2" t="s">
        <v>13</v>
      </c>
      <c r="B8" s="2" t="s">
        <v>24</v>
      </c>
      <c r="C8" s="2"/>
      <c r="D8" s="2"/>
      <c r="E8" s="2"/>
      <c r="F8" s="2"/>
      <c r="G8" s="2"/>
      <c r="H8" s="2">
        <v>6</v>
      </c>
      <c r="I8" s="2">
        <v>10</v>
      </c>
      <c r="J8" s="2">
        <v>2</v>
      </c>
      <c r="K8" s="2">
        <v>5</v>
      </c>
      <c r="L8" s="2">
        <v>2</v>
      </c>
      <c r="M8" s="2">
        <v>10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>
        <f t="shared" si="0"/>
        <v>35</v>
      </c>
    </row>
    <row r="9" spans="1:25" x14ac:dyDescent="0.45">
      <c r="A9" s="2" t="s">
        <v>14</v>
      </c>
      <c r="B9" s="2" t="s">
        <v>25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>
        <v>6</v>
      </c>
      <c r="O9" s="2">
        <v>10</v>
      </c>
      <c r="P9" s="2">
        <v>2</v>
      </c>
      <c r="Q9" s="2">
        <v>5</v>
      </c>
      <c r="R9" s="2">
        <v>2</v>
      </c>
      <c r="S9" s="2">
        <v>10</v>
      </c>
      <c r="T9" s="2"/>
      <c r="U9" s="2"/>
      <c r="V9" s="2"/>
      <c r="W9" s="2"/>
      <c r="X9" s="2"/>
      <c r="Y9" s="2">
        <f t="shared" si="0"/>
        <v>35</v>
      </c>
    </row>
    <row r="10" spans="1:25" x14ac:dyDescent="0.45">
      <c r="A10" s="2" t="s">
        <v>34</v>
      </c>
      <c r="B10" s="2" t="s">
        <v>42</v>
      </c>
      <c r="C10" s="2"/>
      <c r="D10" s="2">
        <v>15</v>
      </c>
      <c r="E10" s="2">
        <v>4</v>
      </c>
      <c r="F10" s="2">
        <v>2</v>
      </c>
      <c r="G10" s="2">
        <v>4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>
        <f t="shared" si="0"/>
        <v>25</v>
      </c>
    </row>
    <row r="11" spans="1:25" x14ac:dyDescent="0.45">
      <c r="A11" s="2" t="s">
        <v>35</v>
      </c>
      <c r="B11" s="2" t="s">
        <v>43</v>
      </c>
      <c r="C11" s="2"/>
      <c r="D11" s="2">
        <v>15</v>
      </c>
      <c r="E11" s="2">
        <v>4</v>
      </c>
      <c r="F11" s="2">
        <v>2</v>
      </c>
      <c r="G11" s="2">
        <v>4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>
        <f t="shared" si="0"/>
        <v>25</v>
      </c>
    </row>
    <row r="12" spans="1:25" x14ac:dyDescent="0.45">
      <c r="A12" s="2" t="s">
        <v>36</v>
      </c>
      <c r="B12" s="2" t="s">
        <v>44</v>
      </c>
      <c r="C12" s="2"/>
      <c r="D12" s="2" t="s">
        <v>46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>
        <f t="shared" si="0"/>
        <v>0</v>
      </c>
    </row>
    <row r="13" spans="1:25" x14ac:dyDescent="0.45">
      <c r="A13" s="2" t="s">
        <v>37</v>
      </c>
      <c r="B13" s="2" t="s">
        <v>45</v>
      </c>
      <c r="C13" s="2"/>
      <c r="D13" s="2"/>
      <c r="E13" s="2"/>
      <c r="F13" s="2">
        <v>2</v>
      </c>
      <c r="G13" s="2"/>
      <c r="H13" s="2">
        <v>2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>
        <f t="shared" si="0"/>
        <v>4</v>
      </c>
    </row>
    <row r="14" spans="1:25" x14ac:dyDescent="0.45">
      <c r="A14" s="2" t="s">
        <v>38</v>
      </c>
      <c r="B14" s="2" t="s">
        <v>47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>
        <v>18</v>
      </c>
      <c r="U14" s="2">
        <v>24</v>
      </c>
      <c r="V14" s="2"/>
      <c r="W14" s="2"/>
      <c r="X14" s="2"/>
      <c r="Y14" s="2">
        <f t="shared" si="0"/>
        <v>42</v>
      </c>
    </row>
    <row r="15" spans="1:25" x14ac:dyDescent="0.45">
      <c r="A15" s="2" t="s">
        <v>39</v>
      </c>
      <c r="B15" s="2" t="s">
        <v>50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>
        <v>14</v>
      </c>
      <c r="W15" s="2">
        <v>18</v>
      </c>
      <c r="X15" s="2">
        <v>12</v>
      </c>
      <c r="Y15" s="2">
        <f t="shared" si="0"/>
        <v>44</v>
      </c>
    </row>
    <row r="16" spans="1:25" x14ac:dyDescent="0.45">
      <c r="A16" s="2" t="s">
        <v>40</v>
      </c>
      <c r="B16" s="2" t="s">
        <v>54</v>
      </c>
      <c r="C16" s="2" t="s">
        <v>57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>
        <v>6</v>
      </c>
      <c r="U16" s="2"/>
      <c r="V16" s="2"/>
      <c r="W16" s="2">
        <v>6</v>
      </c>
      <c r="X16" s="2"/>
      <c r="Y16" s="2">
        <f t="shared" si="0"/>
        <v>12</v>
      </c>
    </row>
    <row r="17" spans="1:25" x14ac:dyDescent="0.45">
      <c r="A17" s="2" t="s">
        <v>41</v>
      </c>
      <c r="B17" s="2" t="s">
        <v>55</v>
      </c>
      <c r="C17" s="2" t="s">
        <v>57</v>
      </c>
      <c r="D17" s="2"/>
      <c r="E17" s="2"/>
      <c r="F17" s="2"/>
      <c r="G17" s="2"/>
      <c r="H17" s="2">
        <v>2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>
        <v>12</v>
      </c>
      <c r="U17" s="2"/>
      <c r="V17" s="2"/>
      <c r="W17" s="2">
        <v>12</v>
      </c>
      <c r="X17" s="2"/>
      <c r="Y17" s="2">
        <f t="shared" si="0"/>
        <v>26</v>
      </c>
    </row>
    <row r="18" spans="1:25" x14ac:dyDescent="0.45">
      <c r="A18" s="3"/>
      <c r="B18" s="2" t="s">
        <v>56</v>
      </c>
      <c r="C18" s="2"/>
      <c r="D18" s="2">
        <f>SUM(D2:D17)</f>
        <v>54</v>
      </c>
      <c r="E18" s="2">
        <f t="shared" ref="E18:X18" si="1">SUM(E2:E17)</f>
        <v>28</v>
      </c>
      <c r="F18" s="2">
        <f t="shared" si="1"/>
        <v>6</v>
      </c>
      <c r="G18" s="2">
        <f t="shared" si="1"/>
        <v>8</v>
      </c>
      <c r="H18" s="2">
        <f t="shared" si="1"/>
        <v>16</v>
      </c>
      <c r="I18" s="2">
        <f t="shared" si="1"/>
        <v>20</v>
      </c>
      <c r="J18" s="2">
        <f t="shared" si="1"/>
        <v>4</v>
      </c>
      <c r="K18" s="2">
        <f t="shared" si="1"/>
        <v>10</v>
      </c>
      <c r="L18" s="2">
        <f t="shared" si="1"/>
        <v>4</v>
      </c>
      <c r="M18" s="2">
        <f t="shared" si="1"/>
        <v>20</v>
      </c>
      <c r="N18" s="2">
        <f t="shared" si="1"/>
        <v>6</v>
      </c>
      <c r="O18" s="2">
        <f t="shared" si="1"/>
        <v>10</v>
      </c>
      <c r="P18" s="2">
        <f t="shared" si="1"/>
        <v>2</v>
      </c>
      <c r="Q18" s="2">
        <f t="shared" si="1"/>
        <v>5</v>
      </c>
      <c r="R18" s="2">
        <f t="shared" si="1"/>
        <v>2</v>
      </c>
      <c r="S18" s="2">
        <f t="shared" si="1"/>
        <v>10</v>
      </c>
      <c r="T18" s="2">
        <f t="shared" si="1"/>
        <v>36</v>
      </c>
      <c r="U18" s="2">
        <f t="shared" si="1"/>
        <v>24</v>
      </c>
      <c r="V18" s="2">
        <f t="shared" si="1"/>
        <v>14</v>
      </c>
      <c r="W18" s="2">
        <f t="shared" si="1"/>
        <v>36</v>
      </c>
      <c r="X18" s="2">
        <f t="shared" si="1"/>
        <v>12</v>
      </c>
      <c r="Y18" s="2">
        <f t="shared" si="0"/>
        <v>327</v>
      </c>
    </row>
    <row r="19" spans="1:25" x14ac:dyDescent="0.45">
      <c r="B19" s="1"/>
      <c r="C19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6C77D-B417-4293-8FED-53A456A187DF}">
  <dimension ref="A1:F13"/>
  <sheetViews>
    <sheetView workbookViewId="0">
      <selection activeCell="E12" sqref="E12"/>
    </sheetView>
  </sheetViews>
  <sheetFormatPr defaultRowHeight="17" x14ac:dyDescent="0.45"/>
  <cols>
    <col min="2" max="2" width="24.1640625" bestFit="1" customWidth="1"/>
    <col min="5" max="5" width="17.6640625" bestFit="1" customWidth="1"/>
  </cols>
  <sheetData>
    <row r="1" spans="1:6" x14ac:dyDescent="0.45">
      <c r="A1" t="s">
        <v>75</v>
      </c>
      <c r="B1" t="s">
        <v>59</v>
      </c>
      <c r="C1" t="s">
        <v>61</v>
      </c>
      <c r="D1" t="s">
        <v>62</v>
      </c>
      <c r="E1" t="s">
        <v>64</v>
      </c>
      <c r="F1" t="s">
        <v>69</v>
      </c>
    </row>
    <row r="2" spans="1:6" x14ac:dyDescent="0.45">
      <c r="A2" t="s">
        <v>58</v>
      </c>
      <c r="B2" t="s">
        <v>60</v>
      </c>
      <c r="D2" t="s">
        <v>33</v>
      </c>
      <c r="E2" t="s">
        <v>65</v>
      </c>
      <c r="F2">
        <v>10</v>
      </c>
    </row>
    <row r="3" spans="1:6" x14ac:dyDescent="0.45">
      <c r="D3" t="s">
        <v>63</v>
      </c>
      <c r="E3" t="s">
        <v>66</v>
      </c>
      <c r="F3">
        <v>4</v>
      </c>
    </row>
    <row r="4" spans="1:6" x14ac:dyDescent="0.45">
      <c r="B4" t="s">
        <v>67</v>
      </c>
      <c r="D4" t="s">
        <v>18</v>
      </c>
      <c r="E4" t="s">
        <v>66</v>
      </c>
      <c r="F4">
        <v>8</v>
      </c>
    </row>
    <row r="5" spans="1:6" x14ac:dyDescent="0.45">
      <c r="D5" t="s">
        <v>19</v>
      </c>
      <c r="E5" t="s">
        <v>65</v>
      </c>
      <c r="F5">
        <v>10</v>
      </c>
    </row>
    <row r="6" spans="1:6" x14ac:dyDescent="0.45">
      <c r="D6" t="s">
        <v>21</v>
      </c>
      <c r="E6" t="s">
        <v>66</v>
      </c>
      <c r="F6">
        <v>8</v>
      </c>
    </row>
    <row r="7" spans="1:6" x14ac:dyDescent="0.45">
      <c r="D7" t="s">
        <v>22</v>
      </c>
      <c r="E7" t="s">
        <v>68</v>
      </c>
      <c r="F7">
        <v>4</v>
      </c>
    </row>
    <row r="8" spans="1:6" x14ac:dyDescent="0.45">
      <c r="A8" t="s">
        <v>70</v>
      </c>
      <c r="B8" t="s">
        <v>71</v>
      </c>
      <c r="D8" t="s">
        <v>33</v>
      </c>
      <c r="E8" t="s">
        <v>72</v>
      </c>
      <c r="F8">
        <v>14</v>
      </c>
    </row>
    <row r="9" spans="1:6" x14ac:dyDescent="0.45">
      <c r="D9" t="s">
        <v>63</v>
      </c>
      <c r="E9" t="s">
        <v>73</v>
      </c>
      <c r="F9">
        <v>4</v>
      </c>
    </row>
    <row r="10" spans="1:6" x14ac:dyDescent="0.45">
      <c r="B10" t="s">
        <v>74</v>
      </c>
      <c r="D10" t="s">
        <v>33</v>
      </c>
      <c r="E10" t="s">
        <v>72</v>
      </c>
      <c r="F10">
        <v>0</v>
      </c>
    </row>
    <row r="11" spans="1:6" x14ac:dyDescent="0.45">
      <c r="D11" t="s">
        <v>63</v>
      </c>
      <c r="E11" t="s">
        <v>73</v>
      </c>
      <c r="F11">
        <v>0</v>
      </c>
    </row>
    <row r="12" spans="1:6" x14ac:dyDescent="0.45">
      <c r="D12" t="s">
        <v>21</v>
      </c>
      <c r="E12" t="s">
        <v>73</v>
      </c>
      <c r="F12">
        <v>36</v>
      </c>
    </row>
    <row r="13" spans="1:6" x14ac:dyDescent="0.45">
      <c r="D13" t="s">
        <v>18</v>
      </c>
      <c r="E13" t="s">
        <v>72</v>
      </c>
      <c r="F13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도면1</vt:lpstr>
      <vt:lpstr>다른도면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GoodDay1</dc:creator>
  <cp:lastModifiedBy>사랑 최</cp:lastModifiedBy>
  <dcterms:created xsi:type="dcterms:W3CDTF">2026-05-12T15:32:48Z</dcterms:created>
  <dcterms:modified xsi:type="dcterms:W3CDTF">2026-05-15T05:56:25Z</dcterms:modified>
</cp:coreProperties>
</file>